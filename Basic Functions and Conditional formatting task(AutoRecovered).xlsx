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4"/>
  <workbookPr/>
  <mc:AlternateContent xmlns:mc="http://schemas.openxmlformats.org/markup-compatibility/2006">
    <mc:Choice Requires="x15">
      <x15ac:absPath xmlns:x15ac="http://schemas.microsoft.com/office/spreadsheetml/2010/11/ac" url="C:\Users\Techalive\Downloads\"/>
    </mc:Choice>
  </mc:AlternateContent>
  <xr:revisionPtr revIDLastSave="0" documentId="13_ncr:1_{9E0C03BD-397A-4F22-B1D4-3D9B5745A5A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2" l="1"/>
  <c r="L12" i="2"/>
  <c r="K12" i="2"/>
  <c r="J12" i="2"/>
  <c r="L11" i="2"/>
  <c r="K11" i="2"/>
  <c r="J11" i="2"/>
  <c r="K33" i="1"/>
  <c r="J33" i="1"/>
  <c r="K32" i="1"/>
  <c r="J32" i="1"/>
  <c r="K31" i="1"/>
  <c r="J31" i="1"/>
  <c r="K30" i="1"/>
  <c r="J30" i="1"/>
  <c r="K29" i="1"/>
  <c r="J29" i="1"/>
  <c r="K28" i="1"/>
  <c r="J28" i="1"/>
  <c r="J20" i="2"/>
  <c r="K25" i="2"/>
  <c r="J25" i="2"/>
  <c r="J24" i="2"/>
  <c r="K24" i="2"/>
  <c r="K23" i="2"/>
  <c r="J23" i="2"/>
  <c r="K22" i="2"/>
  <c r="J22" i="2"/>
  <c r="K21" i="2"/>
  <c r="J21" i="2"/>
  <c r="K20" i="2"/>
  <c r="P5" i="1"/>
  <c r="P6" i="1"/>
  <c r="P7" i="1"/>
  <c r="P8" i="1"/>
  <c r="P4" i="1"/>
  <c r="K20" i="1"/>
  <c r="K19" i="1"/>
  <c r="K18" i="1"/>
  <c r="K17" i="1"/>
  <c r="K16" i="1"/>
  <c r="L20" i="1"/>
  <c r="L19" i="1"/>
  <c r="L18" i="1"/>
  <c r="L17" i="1"/>
  <c r="L16" i="1"/>
  <c r="C26" i="1"/>
  <c r="C16" i="1"/>
  <c r="C19" i="1"/>
  <c r="C8" i="1"/>
  <c r="C13" i="1"/>
  <c r="C7" i="1"/>
  <c r="C25" i="1"/>
  <c r="C12" i="1"/>
  <c r="C6" i="1"/>
  <c r="C24" i="1"/>
  <c r="C15" i="1"/>
  <c r="C23" i="1"/>
  <c r="C5" i="1"/>
  <c r="C4" i="1"/>
  <c r="C18" i="1"/>
  <c r="C22" i="1"/>
  <c r="C11" i="1"/>
  <c r="C10" i="1"/>
  <c r="C17" i="1"/>
  <c r="C21" i="1"/>
  <c r="C9" i="1"/>
  <c r="C3" i="1"/>
  <c r="C20" i="1"/>
  <c r="C14" i="1"/>
  <c r="K8" i="1" l="1"/>
  <c r="J8" i="1"/>
  <c r="I8" i="1"/>
  <c r="P20" i="1"/>
  <c r="R20" i="1"/>
  <c r="Q20" i="1"/>
  <c r="K6" i="1"/>
  <c r="J6" i="1"/>
  <c r="I6" i="1"/>
  <c r="P19" i="1"/>
  <c r="R19" i="1"/>
  <c r="Q19" i="1"/>
  <c r="K5" i="1"/>
  <c r="J5" i="1"/>
  <c r="I5" i="1"/>
  <c r="P17" i="1"/>
  <c r="R17" i="1"/>
  <c r="Q17" i="1"/>
  <c r="K9" i="1"/>
  <c r="J9" i="1"/>
  <c r="I9" i="1"/>
  <c r="P21" i="1"/>
  <c r="R21" i="1"/>
  <c r="Q21" i="1"/>
  <c r="K7" i="1"/>
  <c r="J7" i="1"/>
  <c r="I7" i="1"/>
  <c r="P18" i="1"/>
  <c r="R18" i="1"/>
  <c r="Q18" i="1"/>
  <c r="K12" i="1" l="1"/>
  <c r="K11" i="1"/>
  <c r="J12" i="1"/>
  <c r="J11" i="1"/>
  <c r="I12" i="1"/>
  <c r="I11" i="1"/>
  <c r="I13" i="1" s="1"/>
  <c r="D5" i="2"/>
  <c r="D6" i="2"/>
  <c r="L9" i="2"/>
  <c r="L8" i="2"/>
  <c r="L7" i="2"/>
  <c r="L6" i="2"/>
  <c r="J6" i="2"/>
  <c r="C5" i="2"/>
  <c r="C9" i="2"/>
  <c r="C8" i="2"/>
  <c r="C7" i="2"/>
  <c r="C6" i="2"/>
  <c r="B5" i="2"/>
  <c r="D9" i="2"/>
  <c r="B9" i="2"/>
  <c r="D8" i="2"/>
  <c r="B8" i="2"/>
  <c r="D7" i="2"/>
  <c r="B7" i="2"/>
  <c r="B6" i="2"/>
  <c r="D24" i="2"/>
  <c r="C24" i="2"/>
  <c r="D23" i="2"/>
  <c r="C23" i="2"/>
  <c r="D22" i="2"/>
  <c r="C22" i="2"/>
  <c r="D21" i="2"/>
  <c r="C21" i="2"/>
  <c r="D20" i="2"/>
  <c r="C20" i="2"/>
  <c r="P8" i="2"/>
  <c r="P7" i="2"/>
  <c r="P6" i="2"/>
  <c r="P5" i="2"/>
  <c r="P4" i="2"/>
  <c r="K9" i="2"/>
  <c r="J9" i="2"/>
  <c r="K8" i="2"/>
  <c r="J8" i="2"/>
  <c r="K7" i="2"/>
  <c r="J7" i="2"/>
  <c r="K6" i="2"/>
  <c r="L5" i="2"/>
  <c r="K5" i="2"/>
  <c r="J5" i="2"/>
  <c r="E24" i="2"/>
  <c r="E23" i="2"/>
  <c r="E22" i="2"/>
  <c r="E21" i="2"/>
  <c r="E20" i="2"/>
</calcChain>
</file>

<file path=xl/sharedStrings.xml><?xml version="1.0" encoding="utf-8"?>
<sst xmlns="http://schemas.openxmlformats.org/spreadsheetml/2006/main" count="128" uniqueCount="39">
  <si>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</si>
  <si>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</si>
  <si>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</si>
  <si>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</si>
  <si>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</si>
  <si>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</si>
  <si>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</si>
  <si>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</si>
  <si>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Condition</t>
  </si>
  <si>
    <t>Quantity</t>
  </si>
  <si>
    <t>Tola</t>
  </si>
  <si>
    <t>COUNTIF</t>
  </si>
  <si>
    <t>Abdul</t>
  </si>
  <si>
    <t>Ada</t>
  </si>
  <si>
    <t>Ese</t>
  </si>
  <si>
    <t>Quantity Sold by Years</t>
  </si>
  <si>
    <t>SUMIF</t>
  </si>
  <si>
    <t>Sum of Sales by Years</t>
  </si>
  <si>
    <t>Total qty sold per yr</t>
  </si>
  <si>
    <t>Avr qty per yr</t>
  </si>
  <si>
    <t>Total qty sold Acrss yr</t>
  </si>
  <si>
    <t>FUNCTIONS</t>
  </si>
  <si>
    <t>SUM</t>
  </si>
  <si>
    <t>MINIMUM</t>
  </si>
  <si>
    <t>MAXIMUM</t>
  </si>
  <si>
    <t>AVERAGE</t>
  </si>
  <si>
    <t>COUNT</t>
  </si>
  <si>
    <t>COUNTA</t>
  </si>
  <si>
    <t>Highest transc Amount</t>
  </si>
  <si>
    <t>Lowest trans Amt</t>
  </si>
  <si>
    <t>INVENTORY IMPACT</t>
  </si>
  <si>
    <t>PERFORMANCE EXTREMES</t>
  </si>
  <si>
    <t>REPRESENTATIVE ACTIVITY</t>
  </si>
  <si>
    <t>NO OF TRANSC PER SALES REP</t>
  </si>
  <si>
    <t>MOST ACTIVE REP</t>
  </si>
  <si>
    <t>TOLA</t>
  </si>
  <si>
    <t>TOTAL REVENUE PER SALESREP</t>
  </si>
  <si>
    <t>FINANCIAL CONTRIBUTION</t>
  </si>
  <si>
    <t>YEARLY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</si>
</sst>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/>
      <bottom/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4" fillId="3" borderId="1" xfId="0" applyFont="1" applyFill="1" applyBorder="1"/>
    <xf numFmtId="0" fontId="5" fillId="0" borderId="1" xfId="0" applyFont="1" applyBorder="1"/>
    <xf numFmtId="14" fontId="6" fillId="0" borderId="1" xfId="1" applyNumberFormat="1" applyFont="1" applyFill="1" applyBorder="1"/>
    <xf numFmtId="4" fontId="5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0" fillId="0" borderId="1" xfId="0" applyBorder="1"/>
    <xf numFmtId="0" fontId="0" fillId="0" borderId="6" xfId="0" applyBorder="1"/>
    <xf numFmtId="0" fontId="0" fillId="0" borderId="10" xfId="0" applyBorder="1"/>
    <xf numFmtId="0" fontId="2" fillId="4" borderId="14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5" xfId="0" applyBorder="1"/>
    <xf numFmtId="43" fontId="1" fillId="0" borderId="5" xfId="1" applyFont="1" applyFill="1" applyBorder="1" applyAlignment="1"/>
    <xf numFmtId="0" fontId="0" fillId="0" borderId="16" xfId="0" applyBorder="1"/>
    <xf numFmtId="0" fontId="8" fillId="0" borderId="0" xfId="0" applyFont="1"/>
    <xf numFmtId="43" fontId="0" fillId="0" borderId="0" xfId="0" applyNumberFormat="1"/>
    <xf numFmtId="0" fontId="0" fillId="5" borderId="0" xfId="0" applyFill="1"/>
    <xf numFmtId="0" fontId="7" fillId="5" borderId="0" xfId="0" applyFont="1" applyFill="1"/>
    <xf numFmtId="0" fontId="2" fillId="0" borderId="0" xfId="0" applyFont="1"/>
    <xf numFmtId="0" fontId="0" fillId="0" borderId="17" xfId="0" applyBorder="1"/>
    <xf numFmtId="43" fontId="1" fillId="0" borderId="8" xfId="1" applyFont="1" applyFill="1" applyBorder="1" applyAlignment="1"/>
    <xf numFmtId="0" fontId="2" fillId="3" borderId="5" xfId="0" applyFont="1" applyFill="1" applyBorder="1"/>
    <xf numFmtId="0" fontId="2" fillId="3" borderId="1" xfId="0" applyFont="1" applyFill="1" applyBorder="1"/>
    <xf numFmtId="0" fontId="2" fillId="3" borderId="6" xfId="0" applyFont="1" applyFill="1" applyBorder="1"/>
    <xf numFmtId="0" fontId="0" fillId="0" borderId="5" xfId="0" applyBorder="1"/>
    <xf numFmtId="4" fontId="0" fillId="0" borderId="1" xfId="0" applyNumberFormat="1" applyBorder="1"/>
    <xf numFmtId="4" fontId="0" fillId="0" borderId="6" xfId="0" applyNumberFormat="1" applyBorder="1"/>
    <xf numFmtId="0" fontId="0" fillId="0" borderId="18" xfId="0" applyBorder="1"/>
    <xf numFmtId="0" fontId="0" fillId="0" borderId="19" xfId="0" applyBorder="1"/>
    <xf numFmtId="3" fontId="0" fillId="0" borderId="0" xfId="0" applyNumberFormat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8" fillId="7" borderId="0" xfId="0" applyFont="1" applyFill="1"/>
    <xf numFmtId="0" fontId="2" fillId="8" borderId="0" xfId="0" applyFont="1" applyFill="1"/>
    <xf numFmtId="0" fontId="0" fillId="8" borderId="0" xfId="0" applyFill="1"/>
    <xf numFmtId="0" fontId="0" fillId="0" borderId="0" xfId="0" applyAlignment="1">
      <alignment horizontal="center"/>
    </xf>
    <xf numFmtId="0" fontId="0" fillId="9" borderId="0" xfId="0" applyFill="1"/>
    <xf numFmtId="0" fontId="0" fillId="10" borderId="0" xfId="0" applyFill="1"/>
    <xf numFmtId="0" fontId="2" fillId="10" borderId="0" xfId="0" applyFont="1" applyFill="1"/>
    <xf numFmtId="0" fontId="2" fillId="9" borderId="0" xfId="0" applyFont="1" applyFill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workbookViewId="0">
      <selection activeCell="G3" sqref="G3"/>
    </sheetView>
  </sheetViews>
  <sheetFormatPr defaultRowHeight="15" x14ac:dyDescent="0.25"/>
  <cols>
    <col min="2" max="2" width="9.140625" bestFit="1" customWidth="1"/>
    <col min="4" max="4" width="9.7109375" customWidth="1"/>
    <col min="9" max="9" width="13.28515625" bestFit="1" customWidth="1"/>
    <col min="10" max="11" width="10.5703125" bestFit="1" customWidth="1"/>
    <col min="12" max="12" width="11.5703125" bestFit="1" customWidth="1"/>
    <col min="15" max="15" width="10.42578125" customWidth="1"/>
  </cols>
  <sheetData>
    <row r="1" spans="1:18" ht="25.5" x14ac:dyDescent="0.35">
      <c r="A1" s="57" t="s">
        <v>0</v>
      </c>
      <c r="B1" s="57"/>
      <c r="C1" s="57"/>
      <c r="D1" s="57"/>
      <c r="E1" s="57"/>
      <c r="F1" s="57"/>
    </row>
    <row r="2" spans="1:18" ht="19.5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18" ht="15.75" thickBot="1" x14ac:dyDescent="0.3">
      <c r="A3" s="2">
        <v>3</v>
      </c>
      <c r="B3" s="3">
        <v>40249</v>
      </c>
      <c r="C3" s="3" t="str">
        <f t="shared" ref="C3:C26" si="0">TEXT(B3,"YYYY")</f>
        <v>2010</v>
      </c>
      <c r="D3" s="2" t="s">
        <v>12</v>
      </c>
      <c r="E3" s="2">
        <v>56</v>
      </c>
      <c r="F3" s="4">
        <v>12320</v>
      </c>
      <c r="G3" s="5"/>
      <c r="I3" s="51" t="s">
        <v>17</v>
      </c>
      <c r="J3" s="52"/>
      <c r="K3" s="53"/>
      <c r="N3" s="7"/>
      <c r="O3" s="8" t="s">
        <v>8</v>
      </c>
      <c r="P3" s="9" t="s">
        <v>9</v>
      </c>
    </row>
    <row r="4" spans="1:18" x14ac:dyDescent="0.25">
      <c r="A4" s="2">
        <v>11</v>
      </c>
      <c r="B4" s="3">
        <v>40626</v>
      </c>
      <c r="C4" s="3" t="str">
        <f t="shared" si="0"/>
        <v>2011</v>
      </c>
      <c r="D4" s="2" t="s">
        <v>12</v>
      </c>
      <c r="E4" s="2">
        <v>57</v>
      </c>
      <c r="F4" s="4">
        <v>12540</v>
      </c>
      <c r="G4" s="6"/>
      <c r="H4" s="13" t="s">
        <v>4</v>
      </c>
      <c r="I4" s="14">
        <v>2010</v>
      </c>
      <c r="J4" s="15">
        <v>2011</v>
      </c>
      <c r="K4" s="16">
        <v>2012</v>
      </c>
      <c r="N4" s="48" t="s">
        <v>11</v>
      </c>
      <c r="O4" s="10" t="s">
        <v>12</v>
      </c>
      <c r="P4" s="11">
        <f>COUNTIF($D$3:$D$26,O4)</f>
        <v>6</v>
      </c>
    </row>
    <row r="5" spans="1:18" x14ac:dyDescent="0.25">
      <c r="A5" s="2">
        <v>12</v>
      </c>
      <c r="B5" s="3">
        <v>40693</v>
      </c>
      <c r="C5" s="3" t="str">
        <f t="shared" si="0"/>
        <v>2011</v>
      </c>
      <c r="D5" s="2" t="s">
        <v>12</v>
      </c>
      <c r="E5" s="2">
        <v>48</v>
      </c>
      <c r="F5" s="4">
        <v>10560</v>
      </c>
      <c r="H5" s="17" t="s">
        <v>12</v>
      </c>
      <c r="I5" s="18">
        <f>SUMIFS($F$3:$F$26,$D$3:$D$26,H5,$C$3:$C$26,$I$4)</f>
        <v>12320</v>
      </c>
      <c r="J5" s="18">
        <f>SUMIFS($F$3:$F$26,$D$3:$D$26,H5,$C$3:$C$26,$J$4)</f>
        <v>23100</v>
      </c>
      <c r="K5" s="18">
        <f>SUMIFS($F$3:$F$26,$D$3:$D$26,H5,$C$3:$C$26,$K$4)</f>
        <v>25520</v>
      </c>
      <c r="N5" s="49"/>
      <c r="O5" s="10" t="s">
        <v>7</v>
      </c>
      <c r="P5" s="11">
        <f t="shared" ref="P5:P8" si="1">COUNTIF($D$3:$D$26,O5)</f>
        <v>3</v>
      </c>
    </row>
    <row r="6" spans="1:18" x14ac:dyDescent="0.25">
      <c r="A6" s="2">
        <v>16</v>
      </c>
      <c r="B6" s="3">
        <v>40953</v>
      </c>
      <c r="C6" s="3" t="str">
        <f t="shared" si="0"/>
        <v>2012</v>
      </c>
      <c r="D6" s="2" t="s">
        <v>12</v>
      </c>
      <c r="E6" s="2">
        <v>51</v>
      </c>
      <c r="F6" s="4">
        <v>11220</v>
      </c>
      <c r="H6" s="17" t="s">
        <v>13</v>
      </c>
      <c r="I6" s="18">
        <f t="shared" ref="I6:I9" si="2">SUMIFS($F$3:$F$26,$D$3:$D$26,H6,$C$3:$C$26,$I$4)</f>
        <v>26840</v>
      </c>
      <c r="J6" s="18">
        <f t="shared" ref="J6:J9" si="3">SUMIFS($F$3:$F$26,$D$3:$D$26,H6,$C$3:$C$26,$J$4)</f>
        <v>0</v>
      </c>
      <c r="K6" s="18">
        <f t="shared" ref="K6:K9" si="4">SUMIFS($F$3:$F$26,$D$3:$D$26,H6,$C$3:$C$26,$K$4)</f>
        <v>15840</v>
      </c>
      <c r="N6" s="49"/>
      <c r="O6" s="10" t="s">
        <v>13</v>
      </c>
      <c r="P6" s="11">
        <f t="shared" si="1"/>
        <v>5</v>
      </c>
    </row>
    <row r="7" spans="1:18" x14ac:dyDescent="0.25">
      <c r="A7" s="2">
        <v>19</v>
      </c>
      <c r="B7" s="3">
        <v>41014</v>
      </c>
      <c r="C7" s="3" t="str">
        <f t="shared" si="0"/>
        <v>2012</v>
      </c>
      <c r="D7" s="2" t="s">
        <v>12</v>
      </c>
      <c r="E7" s="2">
        <v>24</v>
      </c>
      <c r="F7" s="4">
        <v>5280</v>
      </c>
      <c r="H7" s="17" t="s">
        <v>7</v>
      </c>
      <c r="I7" s="18">
        <f t="shared" si="2"/>
        <v>16720</v>
      </c>
      <c r="J7" s="18">
        <f t="shared" si="3"/>
        <v>6160</v>
      </c>
      <c r="K7" s="18">
        <f t="shared" si="4"/>
        <v>7920</v>
      </c>
      <c r="N7" s="49"/>
      <c r="O7" s="10" t="s">
        <v>14</v>
      </c>
      <c r="P7" s="11">
        <f t="shared" si="1"/>
        <v>3</v>
      </c>
    </row>
    <row r="8" spans="1:18" ht="15.75" thickBot="1" x14ac:dyDescent="0.3">
      <c r="A8" s="2">
        <v>21</v>
      </c>
      <c r="B8" s="3">
        <v>41068</v>
      </c>
      <c r="C8" s="3" t="str">
        <f t="shared" si="0"/>
        <v>2012</v>
      </c>
      <c r="D8" s="2" t="s">
        <v>12</v>
      </c>
      <c r="E8" s="2">
        <v>41</v>
      </c>
      <c r="F8" s="4">
        <v>9020</v>
      </c>
      <c r="H8" s="17" t="s">
        <v>14</v>
      </c>
      <c r="I8" s="18">
        <f t="shared" si="2"/>
        <v>19800</v>
      </c>
      <c r="J8" s="18">
        <f t="shared" si="3"/>
        <v>20900</v>
      </c>
      <c r="K8" s="18">
        <f t="shared" si="4"/>
        <v>11440</v>
      </c>
      <c r="N8" s="50"/>
      <c r="O8" s="12" t="s">
        <v>10</v>
      </c>
      <c r="P8" s="11">
        <f t="shared" si="1"/>
        <v>7</v>
      </c>
    </row>
    <row r="9" spans="1:18" ht="15.75" thickBot="1" x14ac:dyDescent="0.3">
      <c r="A9" s="2">
        <v>4</v>
      </c>
      <c r="B9" s="3">
        <v>40249</v>
      </c>
      <c r="C9" s="3" t="str">
        <f t="shared" si="0"/>
        <v>2010</v>
      </c>
      <c r="D9" s="2" t="s">
        <v>13</v>
      </c>
      <c r="E9" s="2">
        <v>48</v>
      </c>
      <c r="F9" s="4">
        <v>10560</v>
      </c>
      <c r="H9" s="19" t="s">
        <v>10</v>
      </c>
      <c r="I9" s="18">
        <f t="shared" si="2"/>
        <v>29040</v>
      </c>
      <c r="J9" s="18">
        <f t="shared" si="3"/>
        <v>33440</v>
      </c>
      <c r="K9" s="18">
        <f t="shared" si="4"/>
        <v>20240</v>
      </c>
    </row>
    <row r="10" spans="1:18" x14ac:dyDescent="0.25">
      <c r="A10" s="2">
        <v>7</v>
      </c>
      <c r="B10" s="3">
        <v>40464</v>
      </c>
      <c r="C10" s="3" t="str">
        <f t="shared" si="0"/>
        <v>2010</v>
      </c>
      <c r="D10" s="2" t="s">
        <v>13</v>
      </c>
      <c r="E10" s="2">
        <v>24</v>
      </c>
      <c r="F10" s="4">
        <v>5280</v>
      </c>
    </row>
    <row r="11" spans="1:18" x14ac:dyDescent="0.25">
      <c r="A11" s="2">
        <v>8</v>
      </c>
      <c r="B11" s="3">
        <v>40505</v>
      </c>
      <c r="C11" s="3" t="str">
        <f t="shared" si="0"/>
        <v>2010</v>
      </c>
      <c r="D11" s="2" t="s">
        <v>13</v>
      </c>
      <c r="E11" s="2">
        <v>50</v>
      </c>
      <c r="F11" s="4">
        <v>11000</v>
      </c>
      <c r="H11" s="25" t="s">
        <v>18</v>
      </c>
      <c r="I11" s="26">
        <f>SUM(I5:I9)</f>
        <v>104720</v>
      </c>
      <c r="J11" s="26">
        <f>SUM(J5:J9)</f>
        <v>83600</v>
      </c>
      <c r="K11" s="26">
        <f>SUM(K5:K9)</f>
        <v>80960</v>
      </c>
    </row>
    <row r="12" spans="1:18" x14ac:dyDescent="0.25">
      <c r="A12" s="2">
        <v>17</v>
      </c>
      <c r="B12" s="3">
        <v>40953</v>
      </c>
      <c r="C12" s="3" t="str">
        <f t="shared" si="0"/>
        <v>2012</v>
      </c>
      <c r="D12" s="2" t="s">
        <v>13</v>
      </c>
      <c r="E12" s="2">
        <v>25</v>
      </c>
      <c r="F12" s="4">
        <v>5500</v>
      </c>
      <c r="H12" t="s">
        <v>19</v>
      </c>
      <c r="I12" s="21">
        <f>AVERAGE(I5:I9)</f>
        <v>20944</v>
      </c>
      <c r="J12" s="21">
        <f>AVERAGE(J5:J9)</f>
        <v>16720</v>
      </c>
      <c r="K12" s="21">
        <f>AVERAGE(K5)</f>
        <v>25520</v>
      </c>
    </row>
    <row r="13" spans="1:18" x14ac:dyDescent="0.25">
      <c r="A13" s="2">
        <v>20</v>
      </c>
      <c r="B13" s="3">
        <v>41068</v>
      </c>
      <c r="C13" s="3" t="str">
        <f t="shared" si="0"/>
        <v>2012</v>
      </c>
      <c r="D13" s="2" t="s">
        <v>13</v>
      </c>
      <c r="E13" s="2">
        <v>47</v>
      </c>
      <c r="F13" s="4">
        <v>10340</v>
      </c>
      <c r="H13" t="s">
        <v>20</v>
      </c>
      <c r="I13" s="21">
        <f>SUM(I5:K11)</f>
        <v>538560</v>
      </c>
    </row>
    <row r="14" spans="1:18" ht="15.75" thickBot="1" x14ac:dyDescent="0.3">
      <c r="A14" s="2">
        <v>1</v>
      </c>
      <c r="B14" s="3">
        <v>40221</v>
      </c>
      <c r="C14" s="3" t="str">
        <f t="shared" si="0"/>
        <v>2010</v>
      </c>
      <c r="D14" s="2" t="s">
        <v>7</v>
      </c>
      <c r="E14" s="2">
        <v>76</v>
      </c>
      <c r="F14" s="4">
        <v>16720</v>
      </c>
    </row>
    <row r="15" spans="1:18" ht="15.75" thickBot="1" x14ac:dyDescent="0.3">
      <c r="A15" s="2">
        <v>14</v>
      </c>
      <c r="B15" s="3">
        <v>40711</v>
      </c>
      <c r="C15" s="3" t="str">
        <f t="shared" si="0"/>
        <v>2011</v>
      </c>
      <c r="D15" s="2" t="s">
        <v>7</v>
      </c>
      <c r="E15" s="2">
        <v>28</v>
      </c>
      <c r="F15" s="4">
        <v>6160</v>
      </c>
      <c r="I15" s="7"/>
      <c r="J15" s="8" t="s">
        <v>8</v>
      </c>
      <c r="K15" s="8" t="s">
        <v>9</v>
      </c>
      <c r="L15" s="9" t="s">
        <v>6</v>
      </c>
      <c r="P15" s="51" t="s">
        <v>15</v>
      </c>
      <c r="Q15" s="52"/>
      <c r="R15" s="53"/>
    </row>
    <row r="16" spans="1:18" x14ac:dyDescent="0.25">
      <c r="A16" s="2">
        <v>23</v>
      </c>
      <c r="B16" s="3">
        <v>41183</v>
      </c>
      <c r="C16" s="3" t="str">
        <f t="shared" si="0"/>
        <v>2012</v>
      </c>
      <c r="D16" s="2" t="s">
        <v>7</v>
      </c>
      <c r="E16" s="2">
        <v>36</v>
      </c>
      <c r="F16" s="4">
        <v>7920</v>
      </c>
      <c r="I16" s="48" t="s">
        <v>16</v>
      </c>
      <c r="J16" s="10" t="s">
        <v>12</v>
      </c>
      <c r="K16">
        <f>SUMIF($D$3:$D$26,"Abdul",$E$3:$E$26)</f>
        <v>277</v>
      </c>
      <c r="L16" s="10">
        <f>SUMIF($D$3:$D$26,"Abdul",$F$3:$F$26)</f>
        <v>60940</v>
      </c>
      <c r="O16" s="13" t="s">
        <v>4</v>
      </c>
      <c r="P16" s="14">
        <v>2010</v>
      </c>
      <c r="Q16" s="15">
        <v>2011</v>
      </c>
      <c r="R16" s="16">
        <v>2012</v>
      </c>
    </row>
    <row r="17" spans="1:18" x14ac:dyDescent="0.25">
      <c r="A17" s="2">
        <v>6</v>
      </c>
      <c r="B17" s="3">
        <v>40418</v>
      </c>
      <c r="C17" s="3" t="str">
        <f t="shared" si="0"/>
        <v>2010</v>
      </c>
      <c r="D17" s="2" t="s">
        <v>14</v>
      </c>
      <c r="E17" s="2">
        <v>90</v>
      </c>
      <c r="F17" s="4">
        <v>19800</v>
      </c>
      <c r="I17" s="49"/>
      <c r="J17" s="10" t="s">
        <v>7</v>
      </c>
      <c r="K17">
        <f>SUMIF($D$3:$D$26,"Ayo",$E$3:$E$26)</f>
        <v>140</v>
      </c>
      <c r="L17" s="10">
        <f>SUMIF($D$3:$D$26,"Ayo",$F$3:$F$26)</f>
        <v>30800</v>
      </c>
      <c r="O17" s="17" t="s">
        <v>12</v>
      </c>
      <c r="P17" s="18">
        <f>SUMIFS($E$3:$E$26,$D$3:$D$26,"Abdul",$C$3:$C$26,"2010")</f>
        <v>56</v>
      </c>
      <c r="Q17" s="18">
        <f>SUMIFS($E$3:$E$26,$D$3:$D$26,"Abdul",$C$3:$C$26,"2011")</f>
        <v>105</v>
      </c>
      <c r="R17" s="18">
        <f>SUMIFS($E$3:$E$26,$D$3:$D$26,"Abdul",$C$3:$C$26,"2012")</f>
        <v>116</v>
      </c>
    </row>
    <row r="18" spans="1:18" x14ac:dyDescent="0.25">
      <c r="A18" s="2">
        <v>10</v>
      </c>
      <c r="B18" s="3">
        <v>40611</v>
      </c>
      <c r="C18" s="3" t="str">
        <f t="shared" si="0"/>
        <v>2011</v>
      </c>
      <c r="D18" s="2" t="s">
        <v>14</v>
      </c>
      <c r="E18" s="2">
        <v>95</v>
      </c>
      <c r="F18" s="4">
        <v>20900</v>
      </c>
      <c r="I18" s="49"/>
      <c r="J18" s="10" t="s">
        <v>13</v>
      </c>
      <c r="K18">
        <f>SUMIF($D$3:$D$26,"Ada",$E$3:$E$26)</f>
        <v>194</v>
      </c>
      <c r="L18" s="10">
        <f>SUMIF($D$3:$D$26,"Ada",$F$3:$F$26)</f>
        <v>42680</v>
      </c>
      <c r="O18" s="17" t="s">
        <v>7</v>
      </c>
      <c r="P18" s="18">
        <f>SUMIFS($E$3:$E$26,$D$3:$D$26,"Ayo",$C$3:$C$26,"2010")</f>
        <v>76</v>
      </c>
      <c r="Q18" s="18">
        <f>SUMIFS($E$3:$E$26,$D$3:$D$26,"Ayo",$C$3:$C$26,"2011")</f>
        <v>28</v>
      </c>
      <c r="R18" s="18">
        <f>SUMIFS($E$4:$E$27,$D$4:$D$27,"Ayo",$C$4:$C$27,"2012")</f>
        <v>36</v>
      </c>
    </row>
    <row r="19" spans="1:18" x14ac:dyDescent="0.25">
      <c r="A19" s="2">
        <v>22</v>
      </c>
      <c r="B19" s="3">
        <v>41125</v>
      </c>
      <c r="C19" s="3" t="str">
        <f t="shared" si="0"/>
        <v>2012</v>
      </c>
      <c r="D19" s="2" t="s">
        <v>14</v>
      </c>
      <c r="E19" s="2">
        <v>52</v>
      </c>
      <c r="F19" s="4">
        <v>11440</v>
      </c>
      <c r="I19" s="49"/>
      <c r="J19" s="10" t="s">
        <v>14</v>
      </c>
      <c r="K19">
        <f>SUMIF($D$3:$D$26,"Ese",$E$3:$E$26)</f>
        <v>237</v>
      </c>
      <c r="L19" s="10">
        <f>SUMIF($D$3:$D$26,"Ese",$F$3:$F$26)</f>
        <v>52140</v>
      </c>
      <c r="O19" s="17" t="s">
        <v>13</v>
      </c>
      <c r="P19" s="18">
        <f>SUMIFS($E$3:$E$26,$D$3:$D$26,"Ada",$C$3:$C$26,"2010")</f>
        <v>122</v>
      </c>
      <c r="Q19" s="18">
        <f>SUMIFS($E$3:$E$26,$D$3:$D$26,"Ada",$C$3:$C$26,"2011")</f>
        <v>0</v>
      </c>
      <c r="R19" s="18">
        <f>SUMIFS($E$4:$E$27,$D$4:$D$27,"Ada",$C$4:$C$27,"2012")</f>
        <v>72</v>
      </c>
    </row>
    <row r="20" spans="1:18" ht="15.75" thickBot="1" x14ac:dyDescent="0.3">
      <c r="A20" s="2">
        <v>2</v>
      </c>
      <c r="B20" s="3">
        <v>40235</v>
      </c>
      <c r="C20" s="3" t="str">
        <f t="shared" si="0"/>
        <v>2010</v>
      </c>
      <c r="D20" s="2" t="s">
        <v>10</v>
      </c>
      <c r="E20" s="2">
        <v>59</v>
      </c>
      <c r="F20" s="4">
        <v>12980</v>
      </c>
      <c r="I20" s="50"/>
      <c r="J20" s="12" t="s">
        <v>10</v>
      </c>
      <c r="K20">
        <f>SUMIF($D$3:$D$26,"Tola",$E$3:$E$26)</f>
        <v>376</v>
      </c>
      <c r="L20" s="10">
        <f>SUMIF($D$3:$D$26,"Tola",$F$3:$F$26)</f>
        <v>82720</v>
      </c>
      <c r="O20" s="17" t="s">
        <v>14</v>
      </c>
      <c r="P20" s="18">
        <f>SUMIFS($E$3:$E$26,$D$3:$D$26,"Ese",$C$3:$C$26,"2010")</f>
        <v>90</v>
      </c>
      <c r="Q20" s="18">
        <f>SUMIFS($E$3:$E$26,$D$3:$D$26,"Ese",$C$3:$C$26,"2011")</f>
        <v>95</v>
      </c>
      <c r="R20" s="18">
        <f>SUMIFS($E$4:$E$27,$D$4:$D$27,"Ese",$C$4:$C$27,"2012")</f>
        <v>52</v>
      </c>
    </row>
    <row r="21" spans="1:18" ht="15.75" thickBot="1" x14ac:dyDescent="0.3">
      <c r="A21" s="2">
        <v>5</v>
      </c>
      <c r="B21" s="3">
        <v>40418</v>
      </c>
      <c r="C21" s="3" t="str">
        <f t="shared" si="0"/>
        <v>2010</v>
      </c>
      <c r="D21" s="2" t="s">
        <v>10</v>
      </c>
      <c r="E21" s="2">
        <v>40</v>
      </c>
      <c r="F21" s="4">
        <v>8800</v>
      </c>
      <c r="O21" s="19" t="s">
        <v>10</v>
      </c>
      <c r="P21" s="18">
        <f>SUMIFS($E$3:$E$26,$D$3:$D$26,"Tola",$C$3:$C$26,"2010")</f>
        <v>132</v>
      </c>
      <c r="Q21" s="18">
        <f>SUMIFS($E$3:$E$26,$D$3:$D$26,"Tola",$C$3:$C$26,"2011")</f>
        <v>152</v>
      </c>
      <c r="R21" s="18">
        <f>SUMIFS($E$4:$E$27,$D$4:$D$27,"Tola",$C$4:$C$27,"2012")</f>
        <v>92</v>
      </c>
    </row>
    <row r="22" spans="1:18" x14ac:dyDescent="0.25">
      <c r="A22" s="2">
        <v>9</v>
      </c>
      <c r="B22" s="3">
        <v>40505</v>
      </c>
      <c r="C22" s="3" t="str">
        <f t="shared" si="0"/>
        <v>2010</v>
      </c>
      <c r="D22" s="2" t="s">
        <v>10</v>
      </c>
      <c r="E22" s="2">
        <v>33</v>
      </c>
      <c r="F22" s="4">
        <v>7260</v>
      </c>
    </row>
    <row r="23" spans="1:18" x14ac:dyDescent="0.25">
      <c r="A23" s="2">
        <v>13</v>
      </c>
      <c r="B23" s="3">
        <v>40711</v>
      </c>
      <c r="C23" s="3" t="str">
        <f t="shared" si="0"/>
        <v>2011</v>
      </c>
      <c r="D23" s="2" t="s">
        <v>10</v>
      </c>
      <c r="E23" s="2">
        <v>88</v>
      </c>
      <c r="F23" s="4">
        <v>19360</v>
      </c>
    </row>
    <row r="24" spans="1:18" x14ac:dyDescent="0.25">
      <c r="A24" s="2">
        <v>15</v>
      </c>
      <c r="B24" s="3">
        <v>40734</v>
      </c>
      <c r="C24" s="3" t="str">
        <f t="shared" si="0"/>
        <v>2011</v>
      </c>
      <c r="D24" s="2" t="s">
        <v>10</v>
      </c>
      <c r="E24" s="2">
        <v>64</v>
      </c>
      <c r="F24" s="4">
        <v>14080</v>
      </c>
    </row>
    <row r="25" spans="1:18" ht="15.75" thickBot="1" x14ac:dyDescent="0.3">
      <c r="A25" s="2">
        <v>18</v>
      </c>
      <c r="B25" s="3">
        <v>41014</v>
      </c>
      <c r="C25" s="3" t="str">
        <f t="shared" si="0"/>
        <v>2012</v>
      </c>
      <c r="D25" s="2" t="s">
        <v>10</v>
      </c>
      <c r="E25" s="2">
        <v>32</v>
      </c>
      <c r="F25" s="4">
        <v>7040</v>
      </c>
    </row>
    <row r="26" spans="1:18" x14ac:dyDescent="0.25">
      <c r="A26" s="2">
        <v>24</v>
      </c>
      <c r="B26" s="3">
        <v>41183</v>
      </c>
      <c r="C26" s="3" t="str">
        <f t="shared" si="0"/>
        <v>2012</v>
      </c>
      <c r="D26" s="2" t="s">
        <v>10</v>
      </c>
      <c r="E26" s="2">
        <v>60</v>
      </c>
      <c r="F26" s="4">
        <v>13200</v>
      </c>
      <c r="I26" s="54" t="s">
        <v>21</v>
      </c>
      <c r="J26" s="55"/>
      <c r="K26" s="56"/>
    </row>
    <row r="27" spans="1:18" x14ac:dyDescent="0.25">
      <c r="I27" s="27"/>
      <c r="J27" s="28" t="s">
        <v>9</v>
      </c>
      <c r="K27" s="29" t="s">
        <v>6</v>
      </c>
    </row>
    <row r="28" spans="1:18" x14ac:dyDescent="0.25">
      <c r="I28" s="30" t="s">
        <v>22</v>
      </c>
      <c r="J28" s="31">
        <f>SUM(E3:E26)</f>
        <v>1224</v>
      </c>
      <c r="K28" s="32">
        <f>SUM(F3:F26)</f>
        <v>269280</v>
      </c>
    </row>
    <row r="29" spans="1:18" x14ac:dyDescent="0.25">
      <c r="I29" s="30" t="s">
        <v>23</v>
      </c>
      <c r="J29" s="10">
        <f>MIN(E3:E26)</f>
        <v>24</v>
      </c>
      <c r="K29" s="32">
        <f>MIN(F3:F26)</f>
        <v>5280</v>
      </c>
    </row>
    <row r="30" spans="1:18" x14ac:dyDescent="0.25">
      <c r="I30" s="30" t="s">
        <v>24</v>
      </c>
      <c r="J30" s="10">
        <f>MAX(E3:E26)</f>
        <v>95</v>
      </c>
      <c r="K30" s="32">
        <f>MAX(F3:F26)</f>
        <v>20900</v>
      </c>
    </row>
    <row r="31" spans="1:18" x14ac:dyDescent="0.25">
      <c r="I31" s="30" t="s">
        <v>25</v>
      </c>
      <c r="J31" s="10">
        <f>AVERAGE(E3:E26)</f>
        <v>51</v>
      </c>
      <c r="K31" s="32">
        <f>AVERAGE(F3:F26)</f>
        <v>11220</v>
      </c>
    </row>
    <row r="32" spans="1:18" x14ac:dyDescent="0.25">
      <c r="I32" s="30" t="s">
        <v>26</v>
      </c>
      <c r="J32" s="10">
        <f>COUNT(E3:E26)</f>
        <v>24</v>
      </c>
      <c r="K32" s="11">
        <f>COUNT(F3:F26)</f>
        <v>24</v>
      </c>
    </row>
    <row r="33" spans="9:11" ht="15.75" thickBot="1" x14ac:dyDescent="0.3">
      <c r="I33" s="33" t="s">
        <v>27</v>
      </c>
      <c r="J33" s="10">
        <f>COUNTA(E3:E26)</f>
        <v>24</v>
      </c>
      <c r="K33" s="34">
        <f>COUNTA(F3:F26)</f>
        <v>24</v>
      </c>
    </row>
  </sheetData>
  <mergeCells count="6">
    <mergeCell ref="I26:K26"/>
    <mergeCell ref="P15:R15"/>
    <mergeCell ref="I16:I20"/>
    <mergeCell ref="I3:K3"/>
    <mergeCell ref="A1:F1"/>
    <mergeCell ref="N4:N8"/>
  </mergeCells>
  <conditionalFormatting sqref="F1:F1048576">
    <cfRule type="cellIs" dxfId="1" priority="1" operator="lessThan">
      <formula>6000</formula>
    </cfRule>
    <cfRule type="cellIs" dxfId="0" priority="2" operator="greaterThan">
      <formula>15000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8D9EC-3500-44DD-B51D-9378EF4F5A7B}">
  <dimension ref="A1:R25"/>
  <sheetViews>
    <sheetView tabSelected="1" workbookViewId="0">
      <selection activeCell="F6" sqref="B6:F15"/>
    </sheetView>
  </sheetViews>
  <sheetFormatPr defaultRowHeight="15.75" x14ac:dyDescent="0.25"/>
  <cols>
    <col min="2" max="2" width="12.28515625" bestFit="1" customWidth="1"/>
    <col min="3" max="3" width="13.7109375" customWidth="1"/>
    <col min="4" max="4" width="12.5703125" customWidth="1"/>
    <col min="5" max="5" width="16" customWidth="1"/>
    <col min="6" max="6" width="11.5703125" customWidth="1"/>
    <col min="7" max="7" width="9.140625" style="20"/>
    <col min="8" max="8" width="8.28515625" customWidth="1"/>
    <col min="10" max="10" width="10.140625" customWidth="1"/>
    <col min="11" max="11" width="10.140625" bestFit="1" customWidth="1"/>
    <col min="13" max="13" width="11" customWidth="1"/>
  </cols>
  <sheetData>
    <row r="1" spans="1:18" x14ac:dyDescent="0.25">
      <c r="N1" s="38" t="s">
        <v>32</v>
      </c>
      <c r="O1" s="40"/>
      <c r="P1" s="39"/>
    </row>
    <row r="2" spans="1:18" ht="16.5" thickBot="1" x14ac:dyDescent="0.3">
      <c r="B2" s="47" t="s">
        <v>38</v>
      </c>
      <c r="C2" s="44"/>
      <c r="N2" s="41" t="s">
        <v>33</v>
      </c>
      <c r="O2" s="42"/>
      <c r="P2" s="42"/>
      <c r="Q2" s="45" t="s">
        <v>34</v>
      </c>
      <c r="R2" s="45"/>
    </row>
    <row r="3" spans="1:18" s="23" customFormat="1" thickBot="1" x14ac:dyDescent="0.3">
      <c r="A3"/>
      <c r="B3" s="51" t="s">
        <v>17</v>
      </c>
      <c r="C3" s="52"/>
      <c r="D3" s="53"/>
      <c r="E3" s="24"/>
      <c r="F3"/>
      <c r="G3"/>
      <c r="H3"/>
      <c r="I3"/>
      <c r="J3" s="51" t="s">
        <v>15</v>
      </c>
      <c r="K3" s="52"/>
      <c r="L3" s="53"/>
      <c r="M3"/>
      <c r="N3" s="7"/>
      <c r="O3" s="8" t="s">
        <v>8</v>
      </c>
      <c r="P3" s="9" t="s">
        <v>9</v>
      </c>
      <c r="Q3" s="43" t="s">
        <v>35</v>
      </c>
      <c r="R3"/>
    </row>
    <row r="4" spans="1:18" s="22" customFormat="1" ht="15" x14ac:dyDescent="0.25">
      <c r="A4" s="13" t="s">
        <v>4</v>
      </c>
      <c r="B4" s="14">
        <v>2010</v>
      </c>
      <c r="C4" s="15">
        <v>2011</v>
      </c>
      <c r="D4" s="16">
        <v>2012</v>
      </c>
      <c r="E4"/>
      <c r="F4"/>
      <c r="G4"/>
      <c r="H4"/>
      <c r="I4" s="13" t="s">
        <v>4</v>
      </c>
      <c r="J4" s="14">
        <v>2010</v>
      </c>
      <c r="K4" s="15">
        <v>2011</v>
      </c>
      <c r="L4" s="16">
        <v>2012</v>
      </c>
      <c r="M4"/>
      <c r="N4" s="48" t="s">
        <v>11</v>
      </c>
      <c r="O4" s="10" t="s">
        <v>12</v>
      </c>
      <c r="P4" s="11">
        <f ca="1">COUNTIF($D$5:$D$28,O4)</f>
        <v>6</v>
      </c>
    </row>
    <row r="5" spans="1:18" ht="15" x14ac:dyDescent="0.25">
      <c r="A5" s="17" t="s">
        <v>12</v>
      </c>
      <c r="B5" s="18">
        <f ca="1">SUMIFS($F$5:$F$28,$D$5:$D$28,A5,$C$5:$C$28,$I$6)</f>
        <v>12320</v>
      </c>
      <c r="C5" s="18">
        <f ca="1">SUMIFS($F$5:$F$28,$D$5:$D$28,A5,$C$5:$C$28,$J$6)</f>
        <v>23100</v>
      </c>
      <c r="D5" s="18">
        <f ca="1">SUMIFS($F$5:$F$28,$D$5:$D$28,A5,$C$5:$C$28,#REF!)</f>
        <v>25520</v>
      </c>
      <c r="G5"/>
      <c r="I5" s="17" t="s">
        <v>12</v>
      </c>
      <c r="J5" s="18">
        <f ca="1">SUMIFS($E$5:$E$28,$D$5:$D$28,"Abdul",$C$5:$C$28,"2010")</f>
        <v>56</v>
      </c>
      <c r="K5" s="18">
        <f ca="1">SUMIFS($E$5:$E$28,$D$5:$D$28,"Abdul",$C$5:$C$28,"2011")</f>
        <v>105</v>
      </c>
      <c r="L5" s="18">
        <f ca="1">SUMIFS($E$5:$E$28,$D$5:$D$28,"Abdul",$C$5:$C$28,"2012")</f>
        <v>116</v>
      </c>
      <c r="N5" s="49"/>
      <c r="O5" s="10" t="s">
        <v>7</v>
      </c>
      <c r="P5" s="11">
        <f t="shared" ref="P5:P8" ca="1" si="0">COUNTIF($D$5:$D$28,O5)</f>
        <v>3</v>
      </c>
    </row>
    <row r="6" spans="1:18" x14ac:dyDescent="0.25">
      <c r="A6" s="17" t="s">
        <v>13</v>
      </c>
      <c r="B6" s="18">
        <f t="shared" ref="B6:B9" ca="1" si="1">SUMIFS($F$5:$F$28,$D$5:$D$28,A6,$C$5:$C$28,$I$6)</f>
        <v>26840</v>
      </c>
      <c r="C6" s="18">
        <f t="shared" ref="C6:C9" ca="1" si="2">SUMIFS($F$5:$F$28,$D$5:$D$28,A6,$C$5:$C$28,$J$6)</f>
        <v>0</v>
      </c>
      <c r="D6" s="18">
        <f ca="1">SUMIFS($F$5:$F$28,$D$5:$D$28,A6,$C$5:$C$28,#REF!)</f>
        <v>15840</v>
      </c>
      <c r="E6" s="21"/>
      <c r="F6" s="21"/>
      <c r="I6" s="17" t="s">
        <v>7</v>
      </c>
      <c r="J6" s="18">
        <f ca="1">SUMIFS($E$5:$E$28,$D$5:$D$28,"Ayo",$C$5:$C$28,"2010")</f>
        <v>76</v>
      </c>
      <c r="K6" s="18">
        <f ca="1">SUMIFS($E$5:$E$28,$D$5:$D$28,"Ayo",$C$5:$C$28,"2011")</f>
        <v>28</v>
      </c>
      <c r="L6" s="18">
        <f ca="1">SUMIFS($E$6:$E$29,$D$6:$D$29,"Ayo",$C$6:$C$29,"2012")</f>
        <v>36</v>
      </c>
      <c r="N6" s="49"/>
      <c r="O6" s="10" t="s">
        <v>13</v>
      </c>
      <c r="P6" s="11">
        <f t="shared" ca="1" si="0"/>
        <v>5</v>
      </c>
    </row>
    <row r="7" spans="1:18" x14ac:dyDescent="0.25">
      <c r="A7" s="17" t="s">
        <v>7</v>
      </c>
      <c r="B7" s="18">
        <f t="shared" ca="1" si="1"/>
        <v>16720</v>
      </c>
      <c r="C7" s="18">
        <f t="shared" ca="1" si="2"/>
        <v>6160</v>
      </c>
      <c r="D7" s="18">
        <f ca="1">SUMIFS($F$5:$F$28,$D$5:$D$28,A7,$C$5:$C$28,#REF!)</f>
        <v>7920</v>
      </c>
      <c r="I7" s="17" t="s">
        <v>13</v>
      </c>
      <c r="J7" s="18">
        <f ca="1">SUMIFS($E$5:$E$28,$D$5:$D$28,"Ada",$C$5:$C$28,"2010")</f>
        <v>122</v>
      </c>
      <c r="K7" s="18">
        <f ca="1">SUMIFS($E$5:$E$28,$D$5:$D$28,"Ada",$C$5:$C$28,"2011")</f>
        <v>0</v>
      </c>
      <c r="L7" s="18">
        <f ca="1">SUMIFS($E$6:$E$29,$D$6:$D$29,"Ada",$C$6:$C$29,"2012")</f>
        <v>72</v>
      </c>
      <c r="N7" s="49"/>
      <c r="O7" s="10" t="s">
        <v>14</v>
      </c>
      <c r="P7" s="11">
        <f t="shared" ca="1" si="0"/>
        <v>3</v>
      </c>
    </row>
    <row r="8" spans="1:18" ht="16.5" thickBot="1" x14ac:dyDescent="0.3">
      <c r="A8" s="17" t="s">
        <v>14</v>
      </c>
      <c r="B8" s="18">
        <f t="shared" ca="1" si="1"/>
        <v>19800</v>
      </c>
      <c r="C8" s="18">
        <f t="shared" ca="1" si="2"/>
        <v>20900</v>
      </c>
      <c r="D8" s="18">
        <f ca="1">SUMIFS($F$5:$F$28,$D$5:$D$28,A8,$C$5:$C$28,#REF!)</f>
        <v>11440</v>
      </c>
      <c r="I8" s="17" t="s">
        <v>14</v>
      </c>
      <c r="J8" s="18">
        <f ca="1">SUMIFS($E$5:$E$28,$D$5:$D$28,"Ese",$C$5:$C$28,"2010")</f>
        <v>90</v>
      </c>
      <c r="K8" s="18">
        <f ca="1">SUMIFS($E$5:$E$28,$D$5:$D$28,"Ese",$C$5:$C$28,"2011")</f>
        <v>95</v>
      </c>
      <c r="L8" s="18">
        <f ca="1">SUMIFS($E$6:$E$29,$D$6:$D$29,"Ese",$C$6:$C$29,"2012")</f>
        <v>52</v>
      </c>
      <c r="N8" s="50"/>
      <c r="O8" s="12" t="s">
        <v>10</v>
      </c>
      <c r="P8" s="11">
        <f t="shared" ca="1" si="0"/>
        <v>7</v>
      </c>
    </row>
    <row r="9" spans="1:18" ht="16.5" thickBot="1" x14ac:dyDescent="0.3">
      <c r="A9" s="19" t="s">
        <v>10</v>
      </c>
      <c r="B9" s="18">
        <f t="shared" ca="1" si="1"/>
        <v>29040</v>
      </c>
      <c r="C9" s="18">
        <f t="shared" ca="1" si="2"/>
        <v>33440</v>
      </c>
      <c r="D9" s="18">
        <f ca="1">SUMIFS($F$5:$F$28,$D$5:$D$28,A9,$C$5:$C$28,#REF!)</f>
        <v>20240</v>
      </c>
      <c r="I9" s="19" t="s">
        <v>10</v>
      </c>
      <c r="J9" s="18">
        <f ca="1">SUMIFS($E$5:$E$28,$D$5:$D$28,"Tola",$C$5:$C$28,"2010")</f>
        <v>132</v>
      </c>
      <c r="K9" s="18">
        <f ca="1">SUMIFS($E$5:$E$28,$D$5:$D$28,"Tola",$C$5:$C$28,"2011")</f>
        <v>152</v>
      </c>
      <c r="L9" s="18">
        <f ca="1">SUMIFS($E$6:$E$29,$D$6:$D$29,"Tola",$C$6:$C$29,"2012")</f>
        <v>92</v>
      </c>
    </row>
    <row r="10" spans="1:18" ht="15" x14ac:dyDescent="0.25">
      <c r="B10" s="21"/>
      <c r="G10"/>
      <c r="J10" s="36" t="s">
        <v>30</v>
      </c>
      <c r="K10" s="37"/>
    </row>
    <row r="11" spans="1:18" ht="15" x14ac:dyDescent="0.25">
      <c r="G11"/>
      <c r="I11" s="25" t="s">
        <v>18</v>
      </c>
      <c r="J11" s="21">
        <f>SUM(Sheet1!P17:P21)</f>
        <v>476</v>
      </c>
      <c r="K11" s="21">
        <f>SUM(Sheet1!Q17:Q21)</f>
        <v>380</v>
      </c>
      <c r="L11" s="21">
        <f>SUM(Sheet1!R17:R21)</f>
        <v>368</v>
      </c>
    </row>
    <row r="12" spans="1:18" ht="15" x14ac:dyDescent="0.25">
      <c r="B12" s="21"/>
      <c r="C12" s="21"/>
      <c r="D12" s="21"/>
      <c r="G12"/>
      <c r="I12" t="s">
        <v>19</v>
      </c>
      <c r="J12" s="21">
        <f>AVERAGE(Sheet1!P17:P21)</f>
        <v>95.2</v>
      </c>
      <c r="K12" s="21">
        <f>AVERAGE(Sheet1!Q17:Q21)</f>
        <v>76</v>
      </c>
      <c r="L12" s="21">
        <f>AVERAGE(Sheet1!R21)</f>
        <v>92</v>
      </c>
    </row>
    <row r="13" spans="1:18" ht="15" x14ac:dyDescent="0.25">
      <c r="B13" s="21"/>
      <c r="G13"/>
      <c r="I13" t="s">
        <v>20</v>
      </c>
      <c r="J13" s="21">
        <f>SUM(Sheet1!P17:R21)</f>
        <v>1224</v>
      </c>
    </row>
    <row r="14" spans="1:18" ht="15" x14ac:dyDescent="0.25">
      <c r="G14"/>
    </row>
    <row r="15" spans="1:18" ht="15" x14ac:dyDescent="0.25">
      <c r="G15"/>
    </row>
    <row r="16" spans="1:18" ht="15" x14ac:dyDescent="0.25">
      <c r="G16"/>
    </row>
    <row r="17" spans="1:16" thickBot="1" x14ac:dyDescent="0.3">
      <c r="G17"/>
      <c r="N17" s="36" t="s">
        <v>31</v>
      </c>
      <c r="O17" s="37"/>
      <c r="P17" s="37"/>
    </row>
    <row r="18" spans="1:16" thickBot="1" x14ac:dyDescent="0.3">
      <c r="C18" s="47" t="s">
        <v>37</v>
      </c>
      <c r="D18" s="44"/>
      <c r="G18"/>
      <c r="I18" s="54" t="s">
        <v>21</v>
      </c>
      <c r="J18" s="55"/>
      <c r="K18" s="56"/>
      <c r="M18" t="s">
        <v>28</v>
      </c>
      <c r="P18" t="s">
        <v>29</v>
      </c>
    </row>
    <row r="19" spans="1:16" ht="15" x14ac:dyDescent="0.25">
      <c r="A19" s="7"/>
      <c r="B19" s="8" t="s">
        <v>8</v>
      </c>
      <c r="C19" s="8" t="s">
        <v>9</v>
      </c>
      <c r="D19" s="9" t="s">
        <v>6</v>
      </c>
      <c r="E19" s="46" t="s">
        <v>36</v>
      </c>
      <c r="F19" s="45"/>
      <c r="G19" s="45"/>
      <c r="I19" s="27"/>
      <c r="J19" s="28" t="s">
        <v>9</v>
      </c>
      <c r="K19" s="29" t="s">
        <v>6</v>
      </c>
      <c r="M19">
        <v>20900</v>
      </c>
      <c r="P19" s="35">
        <v>5280</v>
      </c>
    </row>
    <row r="20" spans="1:16" x14ac:dyDescent="0.25">
      <c r="A20" s="48" t="s">
        <v>16</v>
      </c>
      <c r="B20" s="10" t="s">
        <v>12</v>
      </c>
      <c r="C20">
        <f ca="1">SUMIF($D$5:$D$28,"Abdul",$E$5:$E$28)</f>
        <v>277</v>
      </c>
      <c r="D20" s="10">
        <f ca="1">SUMIF($D$5:$D$28,"Abdul",$F$5:$F$28)</f>
        <v>60940</v>
      </c>
      <c r="E20" s="10">
        <f ca="1">SUMIF($D$3:$D$26,"Abdul",$F$3:$F$26)</f>
        <v>60940</v>
      </c>
      <c r="F20" s="20"/>
      <c r="G20"/>
      <c r="I20" s="30" t="s">
        <v>22</v>
      </c>
      <c r="J20" s="31">
        <f>SUM(Sheet1!E3:E26)</f>
        <v>1224</v>
      </c>
      <c r="K20" s="32">
        <f>SUM(Sheet1!F3:F26)</f>
        <v>269280</v>
      </c>
    </row>
    <row r="21" spans="1:16" x14ac:dyDescent="0.25">
      <c r="A21" s="49"/>
      <c r="B21" s="10" t="s">
        <v>7</v>
      </c>
      <c r="C21">
        <f ca="1">SUMIF($D$5:$D$28,"Ayo",$E$5:$E$28)</f>
        <v>140</v>
      </c>
      <c r="D21" s="10">
        <f ca="1">SUMIF($D$5:$D$28,"Ayo",$F$5:$F$28)</f>
        <v>30800</v>
      </c>
      <c r="E21" s="10">
        <f ca="1">SUMIF($D$3:$D$26,"Ayo",$F$3:$F$26)</f>
        <v>30800</v>
      </c>
      <c r="I21" s="30" t="s">
        <v>23</v>
      </c>
      <c r="J21" s="10">
        <f>MIN(Sheet1!E3:E26)</f>
        <v>24</v>
      </c>
      <c r="K21" s="32">
        <f>MIN(Sheet1!F3:F26)</f>
        <v>5280</v>
      </c>
    </row>
    <row r="22" spans="1:16" x14ac:dyDescent="0.25">
      <c r="A22" s="49"/>
      <c r="B22" s="10" t="s">
        <v>13</v>
      </c>
      <c r="C22">
        <f ca="1">SUMIF($D$5:$D$28,"Ada",$E$5:$E$28)</f>
        <v>194</v>
      </c>
      <c r="D22" s="10">
        <f ca="1">SUMIF($D$5:$D$28,"Ada",$F$5:$F$28)</f>
        <v>42680</v>
      </c>
      <c r="E22" s="10">
        <f ca="1">SUMIF($D$3:$D$26,"Ada",$F$3:$F$26)</f>
        <v>42680</v>
      </c>
      <c r="I22" s="30" t="s">
        <v>24</v>
      </c>
      <c r="J22" s="10">
        <f>MAX(Sheet1!E3:E26)</f>
        <v>95</v>
      </c>
      <c r="K22" s="32">
        <f>MAX(Sheet1!F3:F26)</f>
        <v>20900</v>
      </c>
    </row>
    <row r="23" spans="1:16" x14ac:dyDescent="0.25">
      <c r="A23" s="49"/>
      <c r="B23" s="10" t="s">
        <v>14</v>
      </c>
      <c r="C23">
        <f ca="1">SUMIF($D$5:$D$28,"Ese",$E$5:$E$28)</f>
        <v>237</v>
      </c>
      <c r="D23" s="10">
        <f ca="1">SUMIF($D$5:$D$28,"Ese",$F$5:$F$28)</f>
        <v>52140</v>
      </c>
      <c r="E23" s="10">
        <f ca="1">SUMIF($D$3:$D$26,"Ese",$F$3:$F$26)</f>
        <v>52140</v>
      </c>
      <c r="I23" s="30" t="s">
        <v>25</v>
      </c>
      <c r="J23" s="10">
        <f>AVERAGE(Sheet1!E3:E26)</f>
        <v>51</v>
      </c>
      <c r="K23" s="32">
        <f>AVERAGE(Sheet1!F3:F26)</f>
        <v>11220</v>
      </c>
    </row>
    <row r="24" spans="1:16" ht="16.5" thickBot="1" x14ac:dyDescent="0.3">
      <c r="A24" s="50"/>
      <c r="B24" s="12" t="s">
        <v>10</v>
      </c>
      <c r="C24">
        <f ca="1">SUMIF($D$5:$D$28,"Tola",$E$5:$E$28)</f>
        <v>376</v>
      </c>
      <c r="D24" s="10">
        <f ca="1">SUMIF($D$5:$D$28,"Tola",$F$5:$F$28)</f>
        <v>82720</v>
      </c>
      <c r="E24" s="10">
        <f ca="1">SUMIF($D$3:$D$26,"Tola",$F$3:$F$26)</f>
        <v>82720</v>
      </c>
      <c r="I24" s="30" t="s">
        <v>26</v>
      </c>
      <c r="J24" s="10">
        <f>COUNT(Sheet1!E3:E26)</f>
        <v>24</v>
      </c>
      <c r="K24" s="11">
        <f>COUNT(Sheet1!F3:F26)</f>
        <v>24</v>
      </c>
    </row>
    <row r="25" spans="1:16" ht="16.5" thickBot="1" x14ac:dyDescent="0.3">
      <c r="I25" s="33" t="s">
        <v>27</v>
      </c>
      <c r="J25" s="10">
        <f>COUNTA(Sheet1!E3:E26)</f>
        <v>24</v>
      </c>
      <c r="K25" s="34">
        <f>COUNTA(Sheet1!F3:F26)</f>
        <v>24</v>
      </c>
    </row>
  </sheetData>
  <mergeCells count="5">
    <mergeCell ref="A20:A24"/>
    <mergeCell ref="N4:N8"/>
    <mergeCell ref="J3:L3"/>
    <mergeCell ref="B3:D3"/>
    <mergeCell ref="I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Techalive</cp:lastModifiedBy>
  <dcterms:created xsi:type="dcterms:W3CDTF">2024-05-08T21:08:42Z</dcterms:created>
  <dcterms:modified xsi:type="dcterms:W3CDTF">2026-05-08T20:34:54Z</dcterms:modified>
</cp:coreProperties>
</file>